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rancis\OneDrive\Desktop\Practice\Practice_Excell\"/>
    </mc:Choice>
  </mc:AlternateContent>
  <xr:revisionPtr revIDLastSave="0" documentId="13_ncr:1_{F881C9D3-5122-40CF-8843-FB95357B0249}" xr6:coauthVersionLast="47" xr6:coauthVersionMax="47" xr10:uidLastSave="{00000000-0000-0000-0000-000000000000}"/>
  <bookViews>
    <workbookView xWindow="-2685" yWindow="3300" windowWidth="26295" windowHeight="11460" xr2:uid="{00000000-000D-0000-FFFF-FFFF00000000}"/>
  </bookViews>
  <sheets>
    <sheet name="Sheet3" sheetId="3" r:id="rId1"/>
    <sheet name="Sheet1" sheetId="1" r:id="rId2"/>
    <sheet name="ProductList" sheetId="2" r:id="rId3"/>
  </sheets>
  <calcPr calcId="191029"/>
  <pivotCaches>
    <pivotCache cacheId="3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D24" i="1"/>
  <c r="I3" i="1"/>
  <c r="I4" i="1"/>
  <c r="I5" i="1"/>
  <c r="I6" i="1"/>
  <c r="I7" i="1"/>
  <c r="I8" i="1"/>
  <c r="I9" i="1"/>
  <c r="I10" i="1"/>
  <c r="I11" i="1"/>
  <c r="I2" i="1"/>
  <c r="F2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2" i="1"/>
  <c r="H2" i="1" s="1"/>
  <c r="F3" i="1"/>
  <c r="F4" i="1"/>
  <c r="F5" i="1"/>
  <c r="F6" i="1"/>
  <c r="F7" i="1"/>
  <c r="F8" i="1"/>
  <c r="F9" i="1"/>
  <c r="F10" i="1"/>
  <c r="F11" i="1"/>
</calcChain>
</file>

<file path=xl/sharedStrings.xml><?xml version="1.0" encoding="utf-8"?>
<sst xmlns="http://schemas.openxmlformats.org/spreadsheetml/2006/main" count="54" uniqueCount="33">
  <si>
    <t>OrderID</t>
  </si>
  <si>
    <t>Customer</t>
  </si>
  <si>
    <t>ProductID</t>
  </si>
  <si>
    <t>Quantity</t>
  </si>
  <si>
    <t>Date</t>
  </si>
  <si>
    <t>John</t>
  </si>
  <si>
    <t>P001</t>
  </si>
  <si>
    <t>Anna</t>
  </si>
  <si>
    <t>P002</t>
  </si>
  <si>
    <t>Sarah</t>
  </si>
  <si>
    <t>P003</t>
  </si>
  <si>
    <t>Mike</t>
  </si>
  <si>
    <t>P004</t>
  </si>
  <si>
    <t>ProductName</t>
  </si>
  <si>
    <t>Price</t>
  </si>
  <si>
    <t>Whey Protein</t>
  </si>
  <si>
    <t>Creatine</t>
  </si>
  <si>
    <t>Mass Gainer</t>
  </si>
  <si>
    <t>Pre-Workout</t>
  </si>
  <si>
    <t>Product Price</t>
  </si>
  <si>
    <t>Product Name</t>
  </si>
  <si>
    <t>Sales</t>
  </si>
  <si>
    <t>Row Labels</t>
  </si>
  <si>
    <t>Grand Total</t>
  </si>
  <si>
    <t>Sum of Sales</t>
  </si>
  <si>
    <t>Product Category</t>
  </si>
  <si>
    <t>Protein Powder</t>
  </si>
  <si>
    <t>Category</t>
  </si>
  <si>
    <t>Supplement</t>
  </si>
  <si>
    <t>Weight Gain</t>
  </si>
  <si>
    <t>Energy Booster</t>
  </si>
  <si>
    <t>Sum Of All Whey</t>
  </si>
  <si>
    <t>Sum of All Creatine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</si>
</sst>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[business_sales.xlsx]Sheet3!PivotTable12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Produce Highest Sales</a:t>
            </a:r>
          </a:p>
          <a:p>
            <a:pPr>
              <a:defRPr/>
            </a:pP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/>
          </c:spPr>
          <c:invertIfNegative val="0"/>
          <c:cat>
            <c:strRef>
              <c:f>Sheet3!$A$4:$A$8</c:f>
              <c:strCache>
                <c:ptCount val="4"/>
                <c:pt idx="0">
                  <c:v>Creatine</c:v>
                </c:pt>
                <c:pt idx="1">
                  <c:v>Mass Gainer</c:v>
                </c:pt>
                <c:pt idx="2">
                  <c:v>Pre-Workout</c:v>
                </c:pt>
                <c:pt idx="3">
                  <c:v>Whey Protein</c:v>
                </c:pt>
              </c:strCache>
            </c:strRef>
          </c:cat>
          <c:val>
            <c:numRef>
              <c:f>Sheet3!$B$4:$B$8</c:f>
              <c:numCache>
                <c:formatCode>#,##0.00</c:formatCode>
                <c:ptCount val="4"/>
                <c:pt idx="0">
                  <c:v>8400</c:v>
                </c:pt>
                <c:pt idx="1">
                  <c:v>8000</c:v>
                </c:pt>
                <c:pt idx="2">
                  <c:v>9000</c:v>
                </c:pt>
                <c:pt idx="3">
                  <c:v>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B56-4061-A5E4-CD6EB2320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0420127"/>
        <c:axId val="1210431167"/>
      </c:barChart>
      <c:catAx>
        <c:axId val="121042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431167"/>
        <c:crosses val="autoZero"/>
        <c:auto val="1"/>
        <c:lblAlgn val="ctr"/>
        <c:lblOffset val="100"/>
        <c:noMultiLvlLbl val="0"/>
      </c:catAx>
      <c:valAx>
        <c:axId val="121043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4201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419099</xdr:colOff>
      <xdr:row>5</xdr:row>
      <xdr:rowOff>47625</xdr:rowOff>
    </xdr:from>
    <xdr:to>
      <xdr:col>13</xdr:col>
      <xdr:colOff>590550</xdr:colOff>
      <xdr:row>27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335E5E-25E9-42AE-509C-AE8137F3AB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is" refreshedDate="45946.322008564814" createdVersion="8" refreshedVersion="8" minRefreshableVersion="3" recordCount="10" xr:uid="{5CB57754-C89C-45A6-AA23-71CEE50B31C3}">
  <cacheSource type="worksheet">
    <worksheetSource ref="A1:H11" sheet="Sheet1"/>
  </cacheSource>
  <cacheFields count="8">
    <cacheField name="OrderID" numFmtId="0">
      <sharedItems containsSemiMixedTypes="0" containsString="0" containsNumber="1" containsInteger="1" minValue="1001" maxValue="1010"/>
    </cacheField>
    <cacheField name="Customer" numFmtId="0">
      <sharedItems count="4">
        <s v="John"/>
        <s v="Anna"/>
        <s v="Sarah"/>
        <s v="Mike"/>
      </sharedItems>
    </cacheField>
    <cacheField name="ProductID" numFmtId="0">
      <sharedItems count="4">
        <s v="P001"/>
        <s v="P002"/>
        <s v="P003"/>
        <s v="P004"/>
      </sharedItems>
    </cacheField>
    <cacheField name="Quantity" numFmtId="0">
      <sharedItems containsSemiMixedTypes="0" containsString="0" containsNumber="1" containsInteger="1" minValue="1" maxValue="4"/>
    </cacheField>
    <cacheField name="Date" numFmtId="14">
      <sharedItems containsSemiMixedTypes="0" containsNonDate="0" containsDate="1" containsString="0" minDate="2025-09-28T00:00:00" maxDate="2025-10-03T00:00:00"/>
    </cacheField>
    <cacheField name="Product Name" numFmtId="0">
      <sharedItems count="4">
        <s v="Whey Protein"/>
        <s v="Creatine"/>
        <s v="Mass Gainer"/>
        <s v="Pre-Workout"/>
      </sharedItems>
    </cacheField>
    <cacheField name="Product Price" numFmtId="0">
      <sharedItems containsSemiMixedTypes="0" containsString="0" containsNumber="1" containsInteger="1" minValue="1200" maxValue="2000"/>
    </cacheField>
    <cacheField name="Sales" numFmtId="4">
      <sharedItems containsSemiMixedTypes="0" containsString="0" containsNumber="1" containsInteger="1" minValue="1200" maxValue="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1"/>
    <x v="0"/>
    <x v="0"/>
    <n v="2"/>
    <d v="2025-09-28T00:00:00"/>
    <x v="0"/>
    <n v="1500"/>
    <n v="3000"/>
  </r>
  <r>
    <n v="1002"/>
    <x v="1"/>
    <x v="1"/>
    <n v="1"/>
    <d v="2025-09-28T00:00:00"/>
    <x v="1"/>
    <n v="1200"/>
    <n v="1200"/>
  </r>
  <r>
    <n v="1003"/>
    <x v="2"/>
    <x v="2"/>
    <n v="3"/>
    <d v="2025-09-29T00:00:00"/>
    <x v="2"/>
    <n v="2000"/>
    <n v="6000"/>
  </r>
  <r>
    <n v="1004"/>
    <x v="3"/>
    <x v="3"/>
    <n v="2"/>
    <d v="2025-09-29T00:00:00"/>
    <x v="3"/>
    <n v="1800"/>
    <n v="3600"/>
  </r>
  <r>
    <n v="1005"/>
    <x v="0"/>
    <x v="1"/>
    <n v="2"/>
    <d v="2025-09-30T00:00:00"/>
    <x v="1"/>
    <n v="1200"/>
    <n v="2400"/>
  </r>
  <r>
    <n v="1006"/>
    <x v="1"/>
    <x v="0"/>
    <n v="1"/>
    <d v="2025-09-30T00:00:00"/>
    <x v="0"/>
    <n v="1500"/>
    <n v="1500"/>
  </r>
  <r>
    <n v="1007"/>
    <x v="2"/>
    <x v="1"/>
    <n v="4"/>
    <d v="2025-10-01T00:00:00"/>
    <x v="1"/>
    <n v="1200"/>
    <n v="4800"/>
  </r>
  <r>
    <n v="1008"/>
    <x v="3"/>
    <x v="2"/>
    <n v="1"/>
    <d v="2025-10-01T00:00:00"/>
    <x v="2"/>
    <n v="2000"/>
    <n v="2000"/>
  </r>
  <r>
    <n v="1009"/>
    <x v="0"/>
    <x v="3"/>
    <n v="3"/>
    <d v="2025-10-02T00:00:00"/>
    <x v="3"/>
    <n v="1800"/>
    <n v="5400"/>
  </r>
  <r>
    <n v="1010"/>
    <x v="2"/>
    <x v="0"/>
    <n v="2"/>
    <d v="2025-10-02T00:00:00"/>
    <x v="0"/>
    <n v="1500"/>
    <n v="3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D4B2F0-A78A-4204-9B43-1A11CBC8CE0C}" name="PivotTable12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8">
    <pivotField showAll="0"/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numFmtId="14"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numFmtId="4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7" baseField="0" baseItem="0" numFmtId="4"/>
  </dataFields>
  <chartFormats count="1">
    <chartFormat chart="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09FE-F4F2-4E64-9EBF-E70180432FAE}">
  <dimension ref="A3:B8"/>
  <sheetViews>
    <sheetView tabSelected="1" topLeftCell="A2" workbookViewId="0">
      <selection activeCell="H34" sqref="H34"/>
    </sheetView>
  </sheetViews>
  <sheetFormatPr defaultRowHeight="15" x14ac:dyDescent="0.25"/>
  <cols>
    <col min="1" max="1" width="13.28515625" bestFit="1" customWidth="1"/>
    <col min="2" max="3" width="12.140625" bestFit="1" customWidth="1"/>
  </cols>
  <sheetData>
    <row r="3" spans="1:2" x14ac:dyDescent="0.25">
      <c r="A3" s="5" t="s">
        <v>22</v>
      </c>
      <c r="B3" t="s">
        <v>24</v>
      </c>
    </row>
    <row r="4" spans="1:2" x14ac:dyDescent="0.25">
      <c r="A4" s="6" t="s">
        <v>16</v>
      </c>
      <c r="B4" s="4">
        <v>8400</v>
      </c>
    </row>
    <row r="5" spans="1:2" x14ac:dyDescent="0.25">
      <c r="A5" s="6" t="s">
        <v>17</v>
      </c>
      <c r="B5" s="4">
        <v>8000</v>
      </c>
    </row>
    <row r="6" spans="1:2" x14ac:dyDescent="0.25">
      <c r="A6" s="6" t="s">
        <v>18</v>
      </c>
      <c r="B6" s="4">
        <v>9000</v>
      </c>
    </row>
    <row r="7" spans="1:2" x14ac:dyDescent="0.25">
      <c r="A7" s="6" t="s">
        <v>15</v>
      </c>
      <c r="B7" s="4">
        <v>7500</v>
      </c>
    </row>
    <row r="8" spans="1:2" x14ac:dyDescent="0.25">
      <c r="A8" s="6" t="s">
        <v>23</v>
      </c>
      <c r="B8" s="4">
        <v>32900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zoomScale="85" zoomScaleNormal="85" workbookViewId="0">
      <selection activeCell="F23" sqref="F23"/>
    </sheetView>
  </sheetViews>
  <sheetFormatPr defaultRowHeight="15" x14ac:dyDescent="0.25"/>
  <cols>
    <col min="2" max="2" width="22.5703125" customWidth="1"/>
    <col min="3" max="3" width="28" customWidth="1"/>
    <col min="4" max="4" width="21.5703125" customWidth="1"/>
    <col min="5" max="5" width="25.5703125" customWidth="1"/>
    <col min="6" max="7" width="19.28515625" customWidth="1"/>
    <col min="8" max="8" width="18.28515625" customWidth="1"/>
    <col min="9" max="9" width="2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19</v>
      </c>
      <c r="H1" s="1" t="s">
        <v>21</v>
      </c>
      <c r="I1" s="1" t="s">
        <v>25</v>
      </c>
    </row>
    <row r="2" spans="1:9" x14ac:dyDescent="0.25">
      <c r="A2" s="2">
        <v>1001</v>
      </c>
      <c r="B2" s="2" t="s">
        <v>5</v>
      </c>
      <c r="C2" s="2" t="s">
        <v>6</v>
      </c>
      <c r="D2" s="2">
        <v>2</v>
      </c>
      <c r="E2" s="3">
        <v>45928</v>
      </c>
      <c r="F2" t="str">
        <f>VLOOKUP(C2,ProductList!A:C,2,FALSE)</f>
        <v>Whey Protein</v>
      </c>
      <c r="G2">
        <f>VLOOKUP(C2,ProductList!A:C,3,FALSE)</f>
        <v>1500</v>
      </c>
      <c r="H2" s="4">
        <f>D2*G2</f>
        <v>3000</v>
      </c>
      <c r="I2" t="str">
        <f>VLOOKUP(C2,ProductList!A:D,4,FALSE)</f>
        <v>Protein Powder</v>
      </c>
    </row>
    <row r="3" spans="1:9" x14ac:dyDescent="0.25">
      <c r="A3" s="2">
        <v>1002</v>
      </c>
      <c r="B3" s="2" t="s">
        <v>7</v>
      </c>
      <c r="C3" s="2" t="s">
        <v>8</v>
      </c>
      <c r="D3" s="2">
        <v>1</v>
      </c>
      <c r="E3" s="3">
        <v>45928</v>
      </c>
      <c r="F3" t="str">
        <f>VLOOKUP(C3,ProductList!A:C,2,FALSE)</f>
        <v>Creatine</v>
      </c>
      <c r="G3">
        <f>VLOOKUP(C3,ProductList!A:C,3,FALSE)</f>
        <v>1200</v>
      </c>
      <c r="H3" s="4">
        <f t="shared" ref="H3:H11" si="0">D3*G3</f>
        <v>1200</v>
      </c>
      <c r="I3" t="str">
        <f>VLOOKUP(C3,ProductList!A:D,4,FALSE)</f>
        <v>Supplement</v>
      </c>
    </row>
    <row r="4" spans="1:9" x14ac:dyDescent="0.25">
      <c r="A4" s="2">
        <v>1003</v>
      </c>
      <c r="B4" s="2" t="s">
        <v>9</v>
      </c>
      <c r="C4" s="2" t="s">
        <v>10</v>
      </c>
      <c r="D4" s="2">
        <v>3</v>
      </c>
      <c r="E4" s="3">
        <v>45929</v>
      </c>
      <c r="F4" t="str">
        <f>VLOOKUP(C4,ProductList!A:C,2,FALSE)</f>
        <v>Mass Gainer</v>
      </c>
      <c r="G4">
        <f>VLOOKUP(C4,ProductList!A:C,3,FALSE)</f>
        <v>2000</v>
      </c>
      <c r="H4" s="4">
        <f t="shared" si="0"/>
        <v>6000</v>
      </c>
      <c r="I4" t="str">
        <f>VLOOKUP(C4,ProductList!A:D,4,FALSE)</f>
        <v>Weight Gain</v>
      </c>
    </row>
    <row r="5" spans="1:9" x14ac:dyDescent="0.25">
      <c r="A5" s="2">
        <v>1004</v>
      </c>
      <c r="B5" s="2" t="s">
        <v>11</v>
      </c>
      <c r="C5" s="2" t="s">
        <v>12</v>
      </c>
      <c r="D5" s="2">
        <v>2</v>
      </c>
      <c r="E5" s="3">
        <v>45929</v>
      </c>
      <c r="F5" t="str">
        <f>VLOOKUP(C5,ProductList!A:C,2,FALSE)</f>
        <v>Pre-Workout</v>
      </c>
      <c r="G5">
        <f>VLOOKUP(C5,ProductList!A:C,3,FALSE)</f>
        <v>1800</v>
      </c>
      <c r="H5" s="4">
        <f t="shared" si="0"/>
        <v>3600</v>
      </c>
      <c r="I5" t="str">
        <f>VLOOKUP(C5,ProductList!A:D,4,FALSE)</f>
        <v>Energy Booster</v>
      </c>
    </row>
    <row r="6" spans="1:9" x14ac:dyDescent="0.25">
      <c r="A6" s="2">
        <v>1005</v>
      </c>
      <c r="B6" s="2" t="s">
        <v>5</v>
      </c>
      <c r="C6" s="2" t="s">
        <v>8</v>
      </c>
      <c r="D6" s="2">
        <v>2</v>
      </c>
      <c r="E6" s="3">
        <v>45930</v>
      </c>
      <c r="F6" t="str">
        <f>VLOOKUP(C6,ProductList!A:C,2,FALSE)</f>
        <v>Creatine</v>
      </c>
      <c r="G6">
        <f>VLOOKUP(C6,ProductList!A:C,3,FALSE)</f>
        <v>1200</v>
      </c>
      <c r="H6" s="4">
        <f t="shared" si="0"/>
        <v>2400</v>
      </c>
      <c r="I6" t="str">
        <f>VLOOKUP(C6,ProductList!A:D,4,FALSE)</f>
        <v>Supplement</v>
      </c>
    </row>
    <row r="7" spans="1:9" x14ac:dyDescent="0.25">
      <c r="A7" s="2">
        <v>1006</v>
      </c>
      <c r="B7" s="2" t="s">
        <v>7</v>
      </c>
      <c r="C7" s="2" t="s">
        <v>6</v>
      </c>
      <c r="D7" s="2">
        <v>1</v>
      </c>
      <c r="E7" s="3">
        <v>45930</v>
      </c>
      <c r="F7" t="str">
        <f>VLOOKUP(C7,ProductList!A:C,2,FALSE)</f>
        <v>Whey Protein</v>
      </c>
      <c r="G7">
        <f>VLOOKUP(C7,ProductList!A:C,3,FALSE)</f>
        <v>1500</v>
      </c>
      <c r="H7" s="4">
        <f t="shared" si="0"/>
        <v>1500</v>
      </c>
      <c r="I7" t="str">
        <f>VLOOKUP(C7,ProductList!A:D,4,FALSE)</f>
        <v>Protein Powder</v>
      </c>
    </row>
    <row r="8" spans="1:9" x14ac:dyDescent="0.25">
      <c r="A8" s="2">
        <v>1007</v>
      </c>
      <c r="B8" s="2" t="s">
        <v>9</v>
      </c>
      <c r="C8" s="2" t="s">
        <v>8</v>
      </c>
      <c r="D8" s="2">
        <v>4</v>
      </c>
      <c r="E8" s="3">
        <v>45931</v>
      </c>
      <c r="F8" t="str">
        <f>VLOOKUP(C8,ProductList!A:C,2,FALSE)</f>
        <v>Creatine</v>
      </c>
      <c r="G8">
        <f>VLOOKUP(C8,ProductList!A:C,3,FALSE)</f>
        <v>1200</v>
      </c>
      <c r="H8" s="4">
        <f t="shared" si="0"/>
        <v>4800</v>
      </c>
      <c r="I8" t="str">
        <f>VLOOKUP(C8,ProductList!A:D,4,FALSE)</f>
        <v>Supplement</v>
      </c>
    </row>
    <row r="9" spans="1:9" x14ac:dyDescent="0.25">
      <c r="A9" s="2">
        <v>1008</v>
      </c>
      <c r="B9" s="2" t="s">
        <v>11</v>
      </c>
      <c r="C9" s="2" t="s">
        <v>10</v>
      </c>
      <c r="D9" s="2">
        <v>1</v>
      </c>
      <c r="E9" s="3">
        <v>45931</v>
      </c>
      <c r="F9" t="str">
        <f>VLOOKUP(C9,ProductList!A:C,2,FALSE)</f>
        <v>Mass Gainer</v>
      </c>
      <c r="G9">
        <f>VLOOKUP(C9,ProductList!A:C,3,FALSE)</f>
        <v>2000</v>
      </c>
      <c r="H9" s="4">
        <f t="shared" si="0"/>
        <v>2000</v>
      </c>
      <c r="I9" t="str">
        <f>VLOOKUP(C9,ProductList!A:D,4,FALSE)</f>
        <v>Weight Gain</v>
      </c>
    </row>
    <row r="10" spans="1:9" x14ac:dyDescent="0.25">
      <c r="A10" s="2">
        <v>1009</v>
      </c>
      <c r="B10" s="2" t="s">
        <v>5</v>
      </c>
      <c r="C10" s="2" t="s">
        <v>12</v>
      </c>
      <c r="D10" s="2">
        <v>3</v>
      </c>
      <c r="E10" s="3">
        <v>45932</v>
      </c>
      <c r="F10" t="str">
        <f>VLOOKUP(C10,ProductList!A:C,2,FALSE)</f>
        <v>Pre-Workout</v>
      </c>
      <c r="G10">
        <f>VLOOKUP(C10,ProductList!A:C,3,FALSE)</f>
        <v>1800</v>
      </c>
      <c r="H10" s="4">
        <f t="shared" si="0"/>
        <v>5400</v>
      </c>
      <c r="I10" t="str">
        <f>VLOOKUP(C10,ProductList!A:D,4,FALSE)</f>
        <v>Energy Booster</v>
      </c>
    </row>
    <row r="11" spans="1:9" x14ac:dyDescent="0.25">
      <c r="A11" s="2">
        <v>1010</v>
      </c>
      <c r="B11" s="2" t="s">
        <v>9</v>
      </c>
      <c r="C11" s="2" t="s">
        <v>6</v>
      </c>
      <c r="D11" s="2">
        <v>2</v>
      </c>
      <c r="E11" s="3">
        <v>45932</v>
      </c>
      <c r="F11" t="str">
        <f>VLOOKUP(C11,ProductList!A:C,2,FALSE)</f>
        <v>Whey Protein</v>
      </c>
      <c r="G11">
        <f>VLOOKUP(C11,ProductList!A:C,3,FALSE)</f>
        <v>1500</v>
      </c>
      <c r="H11" s="4">
        <f t="shared" si="0"/>
        <v>3000</v>
      </c>
      <c r="I11" t="str">
        <f>VLOOKUP(C11,ProductList!A:D,4,FALSE)</f>
        <v>Protein Powder</v>
      </c>
    </row>
    <row r="23" spans="4:5" x14ac:dyDescent="0.25">
      <c r="D23" s="7" t="s">
        <v>31</v>
      </c>
      <c r="E23" s="7" t="s">
        <v>32</v>
      </c>
    </row>
    <row r="24" spans="4:5" x14ac:dyDescent="0.25">
      <c r="D24" s="8">
        <f>SUMIFS(H:H,F:F,"Whey Protein")</f>
        <v>7500</v>
      </c>
      <c r="E24" s="9">
        <f>SUMIFS(H:H,F:F,"Creatine")</f>
        <v>8400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6643E-79C3-40D2-9A90-E577783C5585}">
  <dimension ref="A1:D5"/>
  <sheetViews>
    <sheetView workbookViewId="0">
      <selection activeCell="D6" sqref="D6"/>
    </sheetView>
  </sheetViews>
  <sheetFormatPr defaultRowHeight="15" x14ac:dyDescent="0.25"/>
  <cols>
    <col min="1" max="1" width="23.140625" customWidth="1"/>
    <col min="2" max="2" width="24.42578125" customWidth="1"/>
    <col min="3" max="3" width="22.7109375" customWidth="1"/>
    <col min="4" max="4" width="38.85546875" customWidth="1"/>
  </cols>
  <sheetData>
    <row r="1" spans="1:4" x14ac:dyDescent="0.25">
      <c r="A1" s="1" t="s">
        <v>2</v>
      </c>
      <c r="B1" s="1" t="s">
        <v>13</v>
      </c>
      <c r="C1" s="1" t="s">
        <v>14</v>
      </c>
      <c r="D1" s="1" t="s">
        <v>27</v>
      </c>
    </row>
    <row r="2" spans="1:4" x14ac:dyDescent="0.25">
      <c r="A2" s="2" t="s">
        <v>6</v>
      </c>
      <c r="B2" s="2" t="s">
        <v>15</v>
      </c>
      <c r="C2" s="2">
        <v>1500</v>
      </c>
      <c r="D2" t="s">
        <v>26</v>
      </c>
    </row>
    <row r="3" spans="1:4" x14ac:dyDescent="0.25">
      <c r="A3" s="2" t="s">
        <v>8</v>
      </c>
      <c r="B3" s="2" t="s">
        <v>16</v>
      </c>
      <c r="C3" s="2">
        <v>1200</v>
      </c>
      <c r="D3" t="s">
        <v>28</v>
      </c>
    </row>
    <row r="4" spans="1:4" x14ac:dyDescent="0.25">
      <c r="A4" s="2" t="s">
        <v>10</v>
      </c>
      <c r="B4" s="2" t="s">
        <v>17</v>
      </c>
      <c r="C4" s="2">
        <v>2000</v>
      </c>
      <c r="D4" t="s">
        <v>29</v>
      </c>
    </row>
    <row r="5" spans="1:4" x14ac:dyDescent="0.25">
      <c r="A5" s="2" t="s">
        <v>12</v>
      </c>
      <c r="B5" s="2" t="s">
        <v>18</v>
      </c>
      <c r="C5" s="2">
        <v>1800</v>
      </c>
      <c r="D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ProductList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</dc:creator>
  <cp:lastModifiedBy>francis ganapin</cp:lastModifiedBy>
  <dcterms:created xsi:type="dcterms:W3CDTF">2015-06-05T18:17:20Z</dcterms:created>
  <dcterms:modified xsi:type="dcterms:W3CDTF">2025-10-16T01:31:38Z</dcterms:modified>
</cp:coreProperties>
</file>