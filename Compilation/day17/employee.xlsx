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rancis\OneDrive\Desktop\Practice\Practice_Excell\"/>
    </mc:Choice>
  </mc:AlternateContent>
  <xr:revisionPtr revIDLastSave="0" documentId="13_ncr:1_{6E8FAC0D-A069-4EDB-BF5A-11C4BF798F31}" xr6:coauthVersionLast="47" xr6:coauthVersionMax="47" xr10:uidLastSave="{00000000-0000-0000-0000-000000000000}"/>
  <bookViews>
    <workbookView xWindow="-540" yWindow="405" windowWidth="26295" windowHeight="11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K3" i="1"/>
  <c r="K4" i="1"/>
  <c r="K5" i="1"/>
  <c r="K6" i="1"/>
  <c r="K7" i="1"/>
  <c r="K2" i="1"/>
  <c r="I2" i="1"/>
  <c r="I3" i="1"/>
  <c r="I4" i="1"/>
  <c r="I5" i="1"/>
  <c r="I6" i="1"/>
  <c r="I7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<sst xmlns="http://schemas.openxmlformats.org/spreadsheetml/2006/main" count="35" uniqueCount="29">
  <si>
    <t>ItemID</t>
  </si>
  <si>
    <t>ProductName</t>
  </si>
  <si>
    <t>Category</t>
  </si>
  <si>
    <t>Supplier</t>
  </si>
  <si>
    <t>UnitPrice</t>
  </si>
  <si>
    <t>Stock</t>
  </si>
  <si>
    <t>ReorderLevel</t>
  </si>
  <si>
    <t>Status</t>
  </si>
  <si>
    <t>P001</t>
  </si>
  <si>
    <t>Whey Protein</t>
  </si>
  <si>
    <t>Supplement</t>
  </si>
  <si>
    <t>MusclePower Co.</t>
  </si>
  <si>
    <t>P002</t>
  </si>
  <si>
    <t>Creatine</t>
  </si>
  <si>
    <t>MaxGain Inc.</t>
  </si>
  <si>
    <t>P003</t>
  </si>
  <si>
    <t>Mass Gainer</t>
  </si>
  <si>
    <t>BulkPro</t>
  </si>
  <si>
    <t>P004</t>
  </si>
  <si>
    <t>Pre-Workout</t>
  </si>
  <si>
    <t>P005</t>
  </si>
  <si>
    <t>BCAA</t>
  </si>
  <si>
    <t>AlphaSupp</t>
  </si>
  <si>
    <t>P006</t>
  </si>
  <si>
    <t>Multivitamin</t>
  </si>
  <si>
    <t>HealthMax</t>
  </si>
  <si>
    <t>Last Restocked Date</t>
  </si>
  <si>
    <t>Category Discoun</t>
  </si>
  <si>
    <t>Discounted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</si>
</sst>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L2" sqref="L2:L7"/>
    </sheetView>
  </sheetViews>
  <sheetFormatPr defaultRowHeight="15" x14ac:dyDescent="0.25"/>
  <cols>
    <col min="2" max="2" width="26" customWidth="1"/>
    <col min="3" max="3" width="16.85546875" customWidth="1"/>
    <col min="4" max="4" width="19.42578125" customWidth="1"/>
    <col min="5" max="5" width="14.28515625" customWidth="1"/>
    <col min="6" max="6" width="17.85546875" customWidth="1"/>
    <col min="7" max="7" width="19.28515625" customWidth="1"/>
    <col min="8" max="8" width="16.28515625" customWidth="1"/>
    <col min="9" max="9" width="39" customWidth="1"/>
    <col min="11" max="11" width="23.28515625" customWidth="1"/>
    <col min="12" max="12" width="22.425781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26</v>
      </c>
      <c r="K1" s="3" t="s">
        <v>27</v>
      </c>
      <c r="L1" s="2" t="s">
        <v>28</v>
      </c>
    </row>
    <row r="2" spans="1:12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1500</v>
      </c>
      <c r="F2" s="1">
        <v>22</v>
      </c>
      <c r="G2" s="1">
        <v>10</v>
      </c>
      <c r="H2" s="1" t="str">
        <f>IF(F2&lt;=G2,"Restock Needed","In Stock")</f>
        <v>In Stock</v>
      </c>
      <c r="I2" t="str">
        <f ca="1">IF(TODAY()-J2&gt;30,"Restock Soon","Recently Restocked")</f>
        <v>Restock Soon</v>
      </c>
      <c r="K2">
        <f>IF(C2="Supplement",0.1,0)</f>
        <v>0.1</v>
      </c>
      <c r="L2">
        <f>E2-(E2*K2)</f>
        <v>1350</v>
      </c>
    </row>
    <row r="3" spans="1:12" x14ac:dyDescent="0.25">
      <c r="A3" s="1" t="s">
        <v>12</v>
      </c>
      <c r="B3" s="1" t="s">
        <v>13</v>
      </c>
      <c r="C3" s="1" t="s">
        <v>10</v>
      </c>
      <c r="D3" s="1" t="s">
        <v>14</v>
      </c>
      <c r="E3" s="1">
        <v>1200</v>
      </c>
      <c r="F3" s="1">
        <v>5</v>
      </c>
      <c r="G3" s="1">
        <v>10</v>
      </c>
      <c r="H3" s="1" t="str">
        <f t="shared" ref="H3:H7" si="0">IF(F3&lt;=G3,"Restock Needed","In Stock")</f>
        <v>Restock Needed</v>
      </c>
      <c r="I3" t="str">
        <f t="shared" ref="I3:I7" ca="1" si="1">IF(TODAY()-J3&gt;30,"Restock Soon","Recentyl Restocked")</f>
        <v>Restock Soon</v>
      </c>
      <c r="K3">
        <f t="shared" ref="K3:K7" si="2">IF(C3="Supplement",0.1,0)</f>
        <v>0.1</v>
      </c>
      <c r="L3">
        <f t="shared" ref="L3:L7" si="3">E3-(E3*K3)</f>
        <v>1080</v>
      </c>
    </row>
    <row r="4" spans="1:12" x14ac:dyDescent="0.25">
      <c r="A4" s="1" t="s">
        <v>15</v>
      </c>
      <c r="B4" s="1" t="s">
        <v>16</v>
      </c>
      <c r="C4" s="1" t="s">
        <v>10</v>
      </c>
      <c r="D4" s="1" t="s">
        <v>17</v>
      </c>
      <c r="E4" s="1">
        <v>2000</v>
      </c>
      <c r="F4" s="1">
        <v>15</v>
      </c>
      <c r="G4" s="1">
        <v>8</v>
      </c>
      <c r="H4" s="1" t="str">
        <f t="shared" si="0"/>
        <v>In Stock</v>
      </c>
      <c r="I4" t="str">
        <f t="shared" ca="1" si="1"/>
        <v>Restock Soon</v>
      </c>
      <c r="K4">
        <f t="shared" si="2"/>
        <v>0.1</v>
      </c>
      <c r="L4">
        <f t="shared" si="3"/>
        <v>1800</v>
      </c>
    </row>
    <row r="5" spans="1:12" x14ac:dyDescent="0.25">
      <c r="A5" s="1" t="s">
        <v>18</v>
      </c>
      <c r="B5" s="1" t="s">
        <v>19</v>
      </c>
      <c r="C5" s="1" t="s">
        <v>10</v>
      </c>
      <c r="D5" s="1" t="s">
        <v>11</v>
      </c>
      <c r="E5" s="1">
        <v>1800</v>
      </c>
      <c r="F5" s="1">
        <v>7</v>
      </c>
      <c r="G5" s="1">
        <v>5</v>
      </c>
      <c r="H5" s="1" t="str">
        <f t="shared" si="0"/>
        <v>In Stock</v>
      </c>
      <c r="I5" t="str">
        <f t="shared" ca="1" si="1"/>
        <v>Restock Soon</v>
      </c>
      <c r="K5">
        <f t="shared" si="2"/>
        <v>0.1</v>
      </c>
      <c r="L5">
        <f t="shared" si="3"/>
        <v>1620</v>
      </c>
    </row>
    <row r="6" spans="1:12" x14ac:dyDescent="0.25">
      <c r="A6" s="1" t="s">
        <v>20</v>
      </c>
      <c r="B6" s="1" t="s">
        <v>21</v>
      </c>
      <c r="C6" s="1" t="s">
        <v>10</v>
      </c>
      <c r="D6" s="1" t="s">
        <v>22</v>
      </c>
      <c r="E6" s="1">
        <v>1000</v>
      </c>
      <c r="F6" s="1">
        <v>25</v>
      </c>
      <c r="G6" s="1">
        <v>12</v>
      </c>
      <c r="H6" s="1" t="str">
        <f t="shared" si="0"/>
        <v>In Stock</v>
      </c>
      <c r="I6" t="str">
        <f t="shared" ca="1" si="1"/>
        <v>Restock Soon</v>
      </c>
      <c r="K6">
        <f t="shared" si="2"/>
        <v>0.1</v>
      </c>
      <c r="L6">
        <f t="shared" si="3"/>
        <v>900</v>
      </c>
    </row>
    <row r="7" spans="1:12" x14ac:dyDescent="0.25">
      <c r="A7" s="1" t="s">
        <v>23</v>
      </c>
      <c r="B7" s="1" t="s">
        <v>24</v>
      </c>
      <c r="C7" s="1" t="s">
        <v>10</v>
      </c>
      <c r="D7" s="1" t="s">
        <v>25</v>
      </c>
      <c r="E7" s="1">
        <v>800</v>
      </c>
      <c r="F7" s="1">
        <v>9</v>
      </c>
      <c r="G7" s="1">
        <v>10</v>
      </c>
      <c r="H7" s="1" t="str">
        <f t="shared" si="0"/>
        <v>Restock Needed</v>
      </c>
      <c r="I7" t="str">
        <f t="shared" ca="1" si="1"/>
        <v>Restock Soon</v>
      </c>
      <c r="K7">
        <f t="shared" si="2"/>
        <v>0.1</v>
      </c>
      <c r="L7">
        <f t="shared" si="3"/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francis ganapin</cp:lastModifiedBy>
  <dcterms:created xsi:type="dcterms:W3CDTF">2015-06-05T18:17:20Z</dcterms:created>
  <dcterms:modified xsi:type="dcterms:W3CDTF">2025-10-16T01:31:32Z</dcterms:modified>
</cp:coreProperties>
</file>