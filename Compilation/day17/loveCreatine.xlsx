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rancis\OneDrive\Desktop\Practice\Practice_Excell\"/>
    </mc:Choice>
  </mc:AlternateContent>
  <xr:revisionPtr revIDLastSave="0" documentId="13_ncr:1_{F372543F-5B4D-48C6-BE55-FF8A930B7EC0}" xr6:coauthVersionLast="47" xr6:coauthVersionMax="47" xr10:uidLastSave="{00000000-0000-0000-0000-000000000000}"/>
  <bookViews>
    <workbookView xWindow="-60" yWindow="345" windowWidth="17715" windowHeight="15030" activeTab="4" xr2:uid="{00000000-000D-0000-FFFF-FFFF00000000}"/>
  </bookViews>
  <sheets>
    <sheet name="Products" sheetId="1" r:id="rId1"/>
    <sheet name="Sheet5" sheetId="6" r:id="rId2"/>
    <sheet name="DashBoard" sheetId="7" r:id="rId3"/>
    <sheet name="Sales" sheetId="2" r:id="rId4"/>
    <sheet name="Sheet7" sheetId="8" r:id="rId5"/>
    <sheet name="Summary" sheetId="3" r:id="rId6"/>
  </sheets>
  <calcPr calcId="191029"/>
  <pivotCaches>
    <pivotCache cacheId="57" r:id="rId7"/>
    <pivotCache cacheId="6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2" i="3"/>
  <c r="M3" i="2"/>
  <c r="M4" i="2"/>
  <c r="M5" i="2"/>
  <c r="M6" i="2"/>
  <c r="M7" i="2"/>
  <c r="M8" i="2"/>
  <c r="M9" i="2"/>
  <c r="M10" i="2"/>
  <c r="M11" i="2"/>
  <c r="M12" i="2"/>
  <c r="M13" i="2"/>
  <c r="M2" i="2"/>
  <c r="L3" i="2"/>
  <c r="L4" i="2"/>
  <c r="L5" i="2"/>
  <c r="L6" i="2"/>
  <c r="L7" i="2"/>
  <c r="L8" i="2"/>
  <c r="L9" i="2"/>
  <c r="L10" i="2"/>
  <c r="L11" i="2"/>
  <c r="L12" i="2"/>
  <c r="L13" i="2"/>
  <c r="L2" i="2"/>
  <c r="K3" i="2"/>
  <c r="K4" i="2"/>
  <c r="B3" i="3" s="1"/>
  <c r="K5" i="2"/>
  <c r="B5" i="3" s="1"/>
  <c r="K6" i="2"/>
  <c r="B4" i="3" s="1"/>
  <c r="K7" i="2"/>
  <c r="K11" i="2"/>
  <c r="K12" i="2"/>
  <c r="K13" i="2"/>
  <c r="J3" i="2"/>
  <c r="J4" i="2"/>
  <c r="J5" i="2"/>
  <c r="J6" i="2"/>
  <c r="J7" i="2"/>
  <c r="J8" i="2"/>
  <c r="K8" i="2" s="1"/>
  <c r="J9" i="2"/>
  <c r="K9" i="2" s="1"/>
  <c r="J10" i="2"/>
  <c r="K10" i="2" s="1"/>
  <c r="J11" i="2"/>
  <c r="J12" i="2"/>
  <c r="J13" i="2"/>
  <c r="J2" i="2"/>
  <c r="K2" i="2" s="1"/>
  <c r="H2" i="2"/>
  <c r="H3" i="2"/>
  <c r="H4" i="2"/>
  <c r="H5" i="2"/>
  <c r="H6" i="2"/>
  <c r="H7" i="2"/>
  <c r="H8" i="2"/>
  <c r="H9" i="2"/>
  <c r="H10" i="2"/>
  <c r="H11" i="2"/>
  <c r="H12" i="2"/>
  <c r="H13" i="2"/>
  <c r="I3" i="2"/>
  <c r="I4" i="2"/>
  <c r="I5" i="2"/>
  <c r="I6" i="2"/>
  <c r="I7" i="2"/>
  <c r="I8" i="2"/>
  <c r="I9" i="2"/>
  <c r="I10" i="2"/>
  <c r="I11" i="2"/>
  <c r="I12" i="2"/>
  <c r="I13" i="2"/>
  <c r="I2" i="2"/>
  <c r="E3" i="3" l="1"/>
  <c r="E2" i="3"/>
  <c r="B2" i="3"/>
</calcChain>
</file>

<file path=xl/sharedStrings.xml><?xml version="1.0" encoding="utf-8"?>
<sst xmlns="http://schemas.openxmlformats.org/spreadsheetml/2006/main" count="141" uniqueCount="64">
  <si>
    <t>Product ID</t>
  </si>
  <si>
    <t>Product Name</t>
  </si>
  <si>
    <t>Category</t>
  </si>
  <si>
    <t>Unit Price</t>
  </si>
  <si>
    <t>Cost</t>
  </si>
  <si>
    <t>P001</t>
  </si>
  <si>
    <t>Whey Protein</t>
  </si>
  <si>
    <t>Supplements</t>
  </si>
  <si>
    <t>P002</t>
  </si>
  <si>
    <t>Creatine</t>
  </si>
  <si>
    <t>P003</t>
  </si>
  <si>
    <t>Mass Gainer</t>
  </si>
  <si>
    <t>P004</t>
  </si>
  <si>
    <t>Preworkout</t>
  </si>
  <si>
    <t>P005</t>
  </si>
  <si>
    <t>Shaker Bottle</t>
  </si>
  <si>
    <t>Accessories</t>
  </si>
  <si>
    <t>P006</t>
  </si>
  <si>
    <t>Gym Gloves</t>
  </si>
  <si>
    <t>P007</t>
  </si>
  <si>
    <t>Protein Bar</t>
  </si>
  <si>
    <t>Food</t>
  </si>
  <si>
    <t>P008</t>
  </si>
  <si>
    <t>Multivitamins</t>
  </si>
  <si>
    <t>Sale ID</t>
  </si>
  <si>
    <t>Date</t>
  </si>
  <si>
    <t>Region</t>
  </si>
  <si>
    <t>Salesperson</t>
  </si>
  <si>
    <t>Quantity</t>
  </si>
  <si>
    <t>Customer Type</t>
  </si>
  <si>
    <t>North</t>
  </si>
  <si>
    <t>Alex</t>
  </si>
  <si>
    <t>New</t>
  </si>
  <si>
    <t>Ben</t>
  </si>
  <si>
    <t>Returning</t>
  </si>
  <si>
    <t>South</t>
  </si>
  <si>
    <t>Cara</t>
  </si>
  <si>
    <t>East</t>
  </si>
  <si>
    <t>Dana</t>
  </si>
  <si>
    <t>West</t>
  </si>
  <si>
    <t>Evan</t>
  </si>
  <si>
    <t>Proper Sale 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</si>
  <si>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</si>
  <si>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</si>
  <si>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</si>
  <si>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</si>
  <si>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</si>
  <si>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</si>
  <si>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</si>
  <si>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</si>
  <si>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</si>
  <si>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</si>
  <si>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</si>
  <si>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</si>
  <si>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Performance</t>
  </si>
  <si>
    <t>Total Sales by Region</t>
  </si>
  <si>
    <t>Returning Sales</t>
  </si>
  <si>
    <t>Sales By Category</t>
  </si>
  <si>
    <t>SupplementS</t>
  </si>
  <si>
    <t>Row Labels</t>
  </si>
  <si>
    <t>Grand Total</t>
  </si>
  <si>
    <t>Total Sales</t>
  </si>
  <si>
    <t>Sum of Total Sales</t>
  </si>
  <si>
    <t>Sum of Total Sales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</si>
</sst>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[loveCreatine.xlsx]Sheet5!PivotTable16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Sheet5!$A$4:$A$20</c:f>
              <c:multiLvlStrCache>
                <c:ptCount val="12"/>
                <c:lvl>
                  <c:pt idx="0">
                    <c:v>Creatine</c:v>
                  </c:pt>
                  <c:pt idx="1">
                    <c:v>Protein Bar</c:v>
                  </c:pt>
                  <c:pt idx="2">
                    <c:v>Whey Protein</c:v>
                  </c:pt>
                  <c:pt idx="3">
                    <c:v>Creatine</c:v>
                  </c:pt>
                  <c:pt idx="4">
                    <c:v>Mass Gainer</c:v>
                  </c:pt>
                  <c:pt idx="5">
                    <c:v>Multivitamins</c:v>
                  </c:pt>
                  <c:pt idx="6">
                    <c:v>Whey Protein</c:v>
                  </c:pt>
                  <c:pt idx="7">
                    <c:v>Gym Gloves</c:v>
                  </c:pt>
                  <c:pt idx="8">
                    <c:v>Mass Gainer</c:v>
                  </c:pt>
                  <c:pt idx="9">
                    <c:v>Whey Protein</c:v>
                  </c:pt>
                  <c:pt idx="10">
                    <c:v>Preworkout</c:v>
                  </c:pt>
                  <c:pt idx="11">
                    <c:v>Shaker Bottle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7">
                    <c:v>South</c:v>
                  </c:pt>
                  <c:pt idx="10">
                    <c:v>West</c:v>
                  </c:pt>
                </c:lvl>
              </c:multiLvlStrCache>
            </c:multiLvlStrRef>
          </c:cat>
          <c:val>
            <c:numRef>
              <c:f>Sheet5!$B$4:$B$20</c:f>
              <c:numCache>
                <c:formatCode>General</c:formatCode>
                <c:ptCount val="12"/>
                <c:pt idx="0">
                  <c:v>4050</c:v>
                </c:pt>
                <c:pt idx="1">
                  <c:v>960</c:v>
                </c:pt>
                <c:pt idx="2">
                  <c:v>6000</c:v>
                </c:pt>
                <c:pt idx="3">
                  <c:v>3600</c:v>
                </c:pt>
                <c:pt idx="4">
                  <c:v>3600</c:v>
                </c:pt>
                <c:pt idx="5">
                  <c:v>3250</c:v>
                </c:pt>
                <c:pt idx="6">
                  <c:v>5000</c:v>
                </c:pt>
                <c:pt idx="7">
                  <c:v>2000</c:v>
                </c:pt>
                <c:pt idx="8">
                  <c:v>4500</c:v>
                </c:pt>
                <c:pt idx="9">
                  <c:v>3000</c:v>
                </c:pt>
                <c:pt idx="10">
                  <c:v>5250</c:v>
                </c:pt>
                <c:pt idx="11">
                  <c:v>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6-4480-894C-DB54EA2AB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095423"/>
        <c:axId val="579095903"/>
      </c:barChart>
      <c:catAx>
        <c:axId val="57909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095903"/>
        <c:crosses val="autoZero"/>
        <c:auto val="1"/>
        <c:lblAlgn val="ctr"/>
        <c:lblOffset val="100"/>
        <c:noMultiLvlLbl val="0"/>
      </c:catAx>
      <c:valAx>
        <c:axId val="57909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095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[loveCreatine.xlsx]Sheet7!PivotTable17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Sheet7!$B$2:$B$6</c:f>
              <c:numCache>
                <c:formatCode>General</c:formatCode>
                <c:ptCount val="4"/>
                <c:pt idx="0">
                  <c:v>11010</c:v>
                </c:pt>
                <c:pt idx="1">
                  <c:v>15450</c:v>
                </c:pt>
                <c:pt idx="2">
                  <c:v>9500</c:v>
                </c:pt>
                <c:pt idx="3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0-490A-B215-717E0F1AB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417727"/>
        <c:axId val="1210423967"/>
      </c:barChart>
      <c:catAx>
        <c:axId val="121041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423967"/>
        <c:crosses val="autoZero"/>
        <c:auto val="1"/>
        <c:lblAlgn val="ctr"/>
        <c:lblOffset val="100"/>
        <c:noMultiLvlLbl val="0"/>
      </c:catAx>
      <c:valAx>
        <c:axId val="121042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41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3</xdr:row>
      <xdr:rowOff>47626</xdr:rowOff>
    </xdr:from>
    <xdr:to>
      <xdr:col>17</xdr:col>
      <xdr:colOff>419100</xdr:colOff>
      <xdr:row>32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5E011-736C-2B23-E7DE-F191459AC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841E33-65E8-C074-EB3C-04A926D4A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" refreshedDate="45946.474410300929" createdVersion="8" refreshedVersion="8" minRefreshableVersion="3" recordCount="12" xr:uid="{0DE3A06F-B800-4BAA-9FAD-52A3A9094CCD}">
  <cacheSource type="worksheet">
    <worksheetSource ref="A1:M13" sheet="Sales"/>
  </cacheSource>
  <cacheFields count="13">
    <cacheField name="Sale ID" numFmtId="0">
      <sharedItems/>
    </cacheField>
    <cacheField name="Date" numFmtId="14">
      <sharedItems containsSemiMixedTypes="0" containsNonDate="0" containsDate="1" containsString="0" minDate="2025-01-01T00:00:00" maxDate="2025-01-13T00:00:00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4" maxValue="15"/>
    </cacheField>
    <cacheField name="Customer Type" numFmtId="0">
      <sharedItems/>
    </cacheField>
    <cacheField name="Product ID2" numFmtId="0">
      <sharedItems count="8">
        <s v="Whey Protein"/>
        <s v="Creatine"/>
        <s v="Mass Gainer"/>
        <s v="Preworkout"/>
        <s v="Shaker Bottle"/>
        <s v="Gym Gloves"/>
        <s v="Multivitamins"/>
        <s v="Protein Bar"/>
      </sharedItems>
    </cacheField>
    <cacheField name="Proper Sale ID" numFmtId="0">
      <sharedItems/>
    </cacheField>
    <cacheField name="Unit Price" numFmtId="0">
      <sharedItems containsSemiMixedTypes="0" containsString="0" containsNumber="1" containsInteger="1" minValue="120" maxValue="900"/>
    </cacheField>
    <cacheField name="Total Sales" numFmtId="0">
      <sharedItems containsSemiMixedTypes="0" containsString="0" containsNumber="1" containsInteger="1" minValue="960" maxValue="6000"/>
    </cacheField>
    <cacheField name="Performance" numFmtId="0">
      <sharedItems count="2">
        <s v="Low"/>
        <s v="High"/>
      </sharedItems>
    </cacheField>
    <cacheField name="Category" numFmtId="0">
      <sharedItems count="3">
        <s v="Supplements"/>
        <s v="Accessories"/>
        <s v="Fo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" refreshedDate="45946.486296643518" createdVersion="8" refreshedVersion="8" minRefreshableVersion="3" recordCount="4" xr:uid="{A9B40DDD-24A0-46D9-A253-CF7AFD70D916}">
  <cacheSource type="worksheet">
    <worksheetSource ref="A1:B5" sheet="Summary"/>
  </cacheSource>
  <cacheFields count="2">
    <cacheField name="Region" numFmtId="0">
      <sharedItems count="4">
        <s v="North"/>
        <s v="South"/>
        <s v="West"/>
        <s v="East"/>
      </sharedItems>
    </cacheField>
    <cacheField name="Total Sales by Region" numFmtId="0">
      <sharedItems containsSemiMixedTypes="0" containsString="0" containsNumber="1" containsInteger="1" minValue="7500" maxValue="154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001"/>
    <d v="2025-01-01T00:00:00"/>
    <x v="0"/>
    <s v="Alex"/>
    <s v="P001"/>
    <n v="10"/>
    <s v="New"/>
    <x v="0"/>
    <s v="S001"/>
    <n v="500"/>
    <n v="5000"/>
    <x v="0"/>
    <x v="0"/>
  </r>
  <r>
    <s v="s002"/>
    <d v="2025-01-02T00:00:00"/>
    <x v="0"/>
    <s v="Ben"/>
    <s v="P002"/>
    <n v="8"/>
    <s v="Returning"/>
    <x v="1"/>
    <s v="S002"/>
    <n v="450"/>
    <n v="3600"/>
    <x v="0"/>
    <x v="0"/>
  </r>
  <r>
    <s v="s003"/>
    <d v="2025-01-03T00:00:00"/>
    <x v="1"/>
    <s v="Cara"/>
    <s v="P003"/>
    <n v="5"/>
    <s v="New"/>
    <x v="2"/>
    <s v="S003"/>
    <n v="900"/>
    <n v="4500"/>
    <x v="0"/>
    <x v="0"/>
  </r>
  <r>
    <s v="s004"/>
    <d v="2025-01-04T00:00:00"/>
    <x v="2"/>
    <s v="Dana"/>
    <s v="P001"/>
    <n v="12"/>
    <s v="Returning"/>
    <x v="0"/>
    <s v="S004"/>
    <n v="500"/>
    <n v="6000"/>
    <x v="1"/>
    <x v="0"/>
  </r>
  <r>
    <s v="s005"/>
    <d v="2025-01-05T00:00:00"/>
    <x v="3"/>
    <s v="Evan"/>
    <s v="P004"/>
    <n v="7"/>
    <s v="New"/>
    <x v="3"/>
    <s v="S005"/>
    <n v="750"/>
    <n v="5250"/>
    <x v="0"/>
    <x v="0"/>
  </r>
  <r>
    <s v="s006"/>
    <d v="2025-01-06T00:00:00"/>
    <x v="1"/>
    <s v="Cara"/>
    <s v="P001"/>
    <n v="6"/>
    <s v="Returning"/>
    <x v="0"/>
    <s v="S006"/>
    <n v="500"/>
    <n v="3000"/>
    <x v="0"/>
    <x v="0"/>
  </r>
  <r>
    <s v="s007"/>
    <d v="2025-01-07T00:00:00"/>
    <x v="2"/>
    <s v="Dana"/>
    <s v="P002"/>
    <n v="9"/>
    <s v="Returning"/>
    <x v="1"/>
    <s v="S007"/>
    <n v="450"/>
    <n v="4050"/>
    <x v="0"/>
    <x v="0"/>
  </r>
  <r>
    <s v="s008"/>
    <d v="2025-01-08T00:00:00"/>
    <x v="0"/>
    <s v="Ben"/>
    <s v="P003"/>
    <n v="4"/>
    <s v="New"/>
    <x v="2"/>
    <s v="S008"/>
    <n v="900"/>
    <n v="3600"/>
    <x v="0"/>
    <x v="0"/>
  </r>
  <r>
    <s v="s009"/>
    <d v="2025-01-09T00:00:00"/>
    <x v="3"/>
    <s v="Evan"/>
    <s v="P005"/>
    <n v="15"/>
    <s v="New"/>
    <x v="4"/>
    <s v="S009"/>
    <n v="150"/>
    <n v="2250"/>
    <x v="1"/>
    <x v="1"/>
  </r>
  <r>
    <s v="s010"/>
    <d v="2025-01-10T00:00:00"/>
    <x v="1"/>
    <s v="Cara"/>
    <s v="P006"/>
    <n v="10"/>
    <s v="Returning"/>
    <x v="5"/>
    <s v="S010"/>
    <n v="200"/>
    <n v="2000"/>
    <x v="0"/>
    <x v="1"/>
  </r>
  <r>
    <s v="s011"/>
    <d v="2025-01-11T00:00:00"/>
    <x v="0"/>
    <s v="Alex"/>
    <s v="P008"/>
    <n v="5"/>
    <s v="New"/>
    <x v="6"/>
    <s v="S011"/>
    <n v="650"/>
    <n v="3250"/>
    <x v="0"/>
    <x v="0"/>
  </r>
  <r>
    <s v="s012"/>
    <d v="2025-01-12T00:00:00"/>
    <x v="2"/>
    <s v="Dana"/>
    <s v="P007"/>
    <n v="8"/>
    <s v="Returning"/>
    <x v="7"/>
    <s v="S012"/>
    <n v="120"/>
    <n v="960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5450"/>
  </r>
  <r>
    <x v="1"/>
    <n v="9500"/>
  </r>
  <r>
    <x v="2"/>
    <n v="7500"/>
  </r>
  <r>
    <x v="3"/>
    <n v="110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D6D36-5397-400F-B145-F3204955EB52}" name="PivotTable16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0" firstHeaderRow="1" firstDataRow="1" firstDataCol="1"/>
  <pivotFields count="13">
    <pivotField showAll="0"/>
    <pivotField numFmtId="1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axis="axisRow" showAll="0">
      <items count="9">
        <item x="1"/>
        <item x="5"/>
        <item x="2"/>
        <item x="6"/>
        <item x="3"/>
        <item x="7"/>
        <item x="4"/>
        <item x="0"/>
        <item t="default"/>
      </items>
    </pivotField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</pivotFields>
  <rowFields count="2">
    <field x="2"/>
    <field x="7"/>
  </rowFields>
  <rowItems count="17">
    <i>
      <x/>
    </i>
    <i r="1">
      <x/>
    </i>
    <i r="1">
      <x v="5"/>
    </i>
    <i r="1">
      <x v="7"/>
    </i>
    <i>
      <x v="1"/>
    </i>
    <i r="1">
      <x/>
    </i>
    <i r="1">
      <x v="2"/>
    </i>
    <i r="1">
      <x v="3"/>
    </i>
    <i r="1">
      <x v="7"/>
    </i>
    <i>
      <x v="2"/>
    </i>
    <i r="1">
      <x v="1"/>
    </i>
    <i r="1">
      <x v="2"/>
    </i>
    <i r="1">
      <x v="7"/>
    </i>
    <i>
      <x v="3"/>
    </i>
    <i r="1">
      <x v="4"/>
    </i>
    <i r="1">
      <x v="6"/>
    </i>
    <i t="grand">
      <x/>
    </i>
  </rowItems>
  <colItems count="1">
    <i/>
  </colItems>
  <dataFields count="1">
    <dataField name="Sum of Total 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8B600-1C15-4E36-A197-60E4128B9AA8}" name="PivotTable17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2">
    <pivotField axis="axisRow" showAll="0">
      <items count="5">
        <item x="3"/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 by Region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C7" sqref="C7"/>
    </sheetView>
  </sheetViews>
  <sheetFormatPr defaultRowHeight="15" x14ac:dyDescent="0.25"/>
  <cols>
    <col min="1" max="1" width="21.28515625" customWidth="1"/>
    <col min="2" max="2" width="27.42578125" customWidth="1"/>
    <col min="3" max="3" width="38.85546875" customWidth="1"/>
    <col min="4" max="4" width="25.42578125" customWidth="1"/>
    <col min="5" max="5" width="26" customWidth="1"/>
  </cols>
  <sheetData>
    <row r="1" spans="1:5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x14ac:dyDescent="0.25">
      <c r="A2" s="3" t="s">
        <v>5</v>
      </c>
      <c r="B2" s="3" t="s">
        <v>6</v>
      </c>
      <c r="C2" s="3" t="s">
        <v>7</v>
      </c>
      <c r="D2" s="3">
        <v>500</v>
      </c>
      <c r="E2" s="3">
        <v>300</v>
      </c>
    </row>
    <row r="3" spans="1:5" ht="30" x14ac:dyDescent="0.25">
      <c r="A3" s="3" t="s">
        <v>8</v>
      </c>
      <c r="B3" s="3" t="s">
        <v>9</v>
      </c>
      <c r="C3" s="3" t="s">
        <v>7</v>
      </c>
      <c r="D3" s="3">
        <v>450</v>
      </c>
      <c r="E3" s="3">
        <v>250</v>
      </c>
    </row>
    <row r="4" spans="1:5" ht="30" x14ac:dyDescent="0.25">
      <c r="A4" s="3" t="s">
        <v>10</v>
      </c>
      <c r="B4" s="3" t="s">
        <v>11</v>
      </c>
      <c r="C4" s="3" t="s">
        <v>7</v>
      </c>
      <c r="D4" s="3">
        <v>900</v>
      </c>
      <c r="E4" s="3">
        <v>600</v>
      </c>
    </row>
    <row r="5" spans="1:5" ht="30" x14ac:dyDescent="0.25">
      <c r="A5" s="3" t="s">
        <v>12</v>
      </c>
      <c r="B5" s="3" t="s">
        <v>13</v>
      </c>
      <c r="C5" s="3" t="s">
        <v>7</v>
      </c>
      <c r="D5" s="3">
        <v>750</v>
      </c>
      <c r="E5" s="3">
        <v>400</v>
      </c>
    </row>
    <row r="6" spans="1:5" ht="30" x14ac:dyDescent="0.25">
      <c r="A6" s="3" t="s">
        <v>14</v>
      </c>
      <c r="B6" s="3" t="s">
        <v>15</v>
      </c>
      <c r="C6" s="3" t="s">
        <v>16</v>
      </c>
      <c r="D6" s="3">
        <v>150</v>
      </c>
      <c r="E6" s="3">
        <v>80</v>
      </c>
    </row>
    <row r="7" spans="1:5" x14ac:dyDescent="0.25">
      <c r="A7" s="3" t="s">
        <v>17</v>
      </c>
      <c r="B7" s="3" t="s">
        <v>18</v>
      </c>
      <c r="C7" s="3" t="s">
        <v>16</v>
      </c>
      <c r="D7" s="3">
        <v>200</v>
      </c>
      <c r="E7" s="3">
        <v>100</v>
      </c>
    </row>
    <row r="8" spans="1:5" ht="30" x14ac:dyDescent="0.25">
      <c r="A8" s="3" t="s">
        <v>19</v>
      </c>
      <c r="B8" s="3" t="s">
        <v>20</v>
      </c>
      <c r="C8" s="3" t="s">
        <v>21</v>
      </c>
      <c r="D8" s="3">
        <v>120</v>
      </c>
      <c r="E8" s="3">
        <v>70</v>
      </c>
    </row>
    <row r="9" spans="1:5" ht="30" x14ac:dyDescent="0.25">
      <c r="A9" s="3" t="s">
        <v>22</v>
      </c>
      <c r="B9" s="3" t="s">
        <v>23</v>
      </c>
      <c r="C9" s="3" t="s">
        <v>7</v>
      </c>
      <c r="D9" s="3">
        <v>650</v>
      </c>
      <c r="E9" s="3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CBC2-FE44-4B8D-8302-F8B331DD6B39}">
  <dimension ref="A3:B20"/>
  <sheetViews>
    <sheetView workbookViewId="0">
      <selection activeCell="S9" sqref="S9"/>
    </sheetView>
  </sheetViews>
  <sheetFormatPr defaultRowHeight="15" x14ac:dyDescent="0.25"/>
  <cols>
    <col min="1" max="1" width="17.140625" bestFit="1" customWidth="1"/>
    <col min="2" max="2" width="17.28515625" bestFit="1" customWidth="1"/>
    <col min="3" max="3" width="16.42578125" bestFit="1" customWidth="1"/>
  </cols>
  <sheetData>
    <row r="3" spans="1:2" x14ac:dyDescent="0.25">
      <c r="A3" s="6" t="s">
        <v>59</v>
      </c>
      <c r="B3" t="s">
        <v>62</v>
      </c>
    </row>
    <row r="4" spans="1:2" x14ac:dyDescent="0.25">
      <c r="A4" s="7" t="s">
        <v>37</v>
      </c>
      <c r="B4" s="9">
        <v>11010</v>
      </c>
    </row>
    <row r="5" spans="1:2" x14ac:dyDescent="0.25">
      <c r="A5" s="8" t="s">
        <v>9</v>
      </c>
      <c r="B5" s="9">
        <v>4050</v>
      </c>
    </row>
    <row r="6" spans="1:2" x14ac:dyDescent="0.25">
      <c r="A6" s="8" t="s">
        <v>20</v>
      </c>
      <c r="B6" s="9">
        <v>960</v>
      </c>
    </row>
    <row r="7" spans="1:2" x14ac:dyDescent="0.25">
      <c r="A7" s="8" t="s">
        <v>6</v>
      </c>
      <c r="B7" s="9">
        <v>6000</v>
      </c>
    </row>
    <row r="8" spans="1:2" x14ac:dyDescent="0.25">
      <c r="A8" s="7" t="s">
        <v>30</v>
      </c>
      <c r="B8" s="9">
        <v>15450</v>
      </c>
    </row>
    <row r="9" spans="1:2" x14ac:dyDescent="0.25">
      <c r="A9" s="8" t="s">
        <v>9</v>
      </c>
      <c r="B9" s="9">
        <v>3600</v>
      </c>
    </row>
    <row r="10" spans="1:2" x14ac:dyDescent="0.25">
      <c r="A10" s="8" t="s">
        <v>11</v>
      </c>
      <c r="B10" s="9">
        <v>3600</v>
      </c>
    </row>
    <row r="11" spans="1:2" x14ac:dyDescent="0.25">
      <c r="A11" s="8" t="s">
        <v>23</v>
      </c>
      <c r="B11" s="9">
        <v>3250</v>
      </c>
    </row>
    <row r="12" spans="1:2" x14ac:dyDescent="0.25">
      <c r="A12" s="8" t="s">
        <v>6</v>
      </c>
      <c r="B12" s="9">
        <v>5000</v>
      </c>
    </row>
    <row r="13" spans="1:2" x14ac:dyDescent="0.25">
      <c r="A13" s="7" t="s">
        <v>35</v>
      </c>
      <c r="B13" s="9">
        <v>9500</v>
      </c>
    </row>
    <row r="14" spans="1:2" x14ac:dyDescent="0.25">
      <c r="A14" s="8" t="s">
        <v>18</v>
      </c>
      <c r="B14" s="9">
        <v>2000</v>
      </c>
    </row>
    <row r="15" spans="1:2" x14ac:dyDescent="0.25">
      <c r="A15" s="8" t="s">
        <v>11</v>
      </c>
      <c r="B15" s="9">
        <v>4500</v>
      </c>
    </row>
    <row r="16" spans="1:2" x14ac:dyDescent="0.25">
      <c r="A16" s="8" t="s">
        <v>6</v>
      </c>
      <c r="B16" s="9">
        <v>3000</v>
      </c>
    </row>
    <row r="17" spans="1:2" x14ac:dyDescent="0.25">
      <c r="A17" s="7" t="s">
        <v>39</v>
      </c>
      <c r="B17" s="9">
        <v>7500</v>
      </c>
    </row>
    <row r="18" spans="1:2" x14ac:dyDescent="0.25">
      <c r="A18" s="8" t="s">
        <v>13</v>
      </c>
      <c r="B18" s="9">
        <v>5250</v>
      </c>
    </row>
    <row r="19" spans="1:2" x14ac:dyDescent="0.25">
      <c r="A19" s="8" t="s">
        <v>15</v>
      </c>
      <c r="B19" s="9">
        <v>2250</v>
      </c>
    </row>
    <row r="20" spans="1:2" x14ac:dyDescent="0.25">
      <c r="A20" s="7" t="s">
        <v>60</v>
      </c>
      <c r="B20" s="9">
        <v>43460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55C1-3A4F-44B7-9502-B70D823467FC}">
  <dimension ref="A1"/>
  <sheetViews>
    <sheetView workbookViewId="0">
      <selection activeCell="B1" sqref="B1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435C-922F-4C9D-BEA5-00A495CE3279}">
  <dimension ref="A1:M13"/>
  <sheetViews>
    <sheetView zoomScale="80" zoomScaleNormal="80" workbookViewId="0">
      <selection sqref="A1:M13"/>
    </sheetView>
  </sheetViews>
  <sheetFormatPr defaultRowHeight="15" x14ac:dyDescent="0.25"/>
  <cols>
    <col min="1" max="1" width="16.7109375" customWidth="1"/>
    <col min="2" max="2" width="22.7109375" customWidth="1"/>
    <col min="3" max="3" width="20.5703125" customWidth="1"/>
    <col min="4" max="4" width="26.85546875" customWidth="1"/>
    <col min="5" max="5" width="31.28515625" customWidth="1"/>
    <col min="6" max="6" width="22.85546875" customWidth="1"/>
    <col min="7" max="7" width="19.7109375" customWidth="1"/>
    <col min="8" max="8" width="19.140625" customWidth="1"/>
    <col min="9" max="9" width="15.7109375" customWidth="1"/>
    <col min="10" max="10" width="13.5703125" customWidth="1"/>
    <col min="11" max="11" width="17.85546875" customWidth="1"/>
    <col min="12" max="12" width="19.5703125" customWidth="1"/>
    <col min="13" max="13" width="21.140625" customWidth="1"/>
  </cols>
  <sheetData>
    <row r="1" spans="1:13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0</v>
      </c>
      <c r="F1" s="2" t="s">
        <v>28</v>
      </c>
      <c r="G1" s="2" t="s">
        <v>29</v>
      </c>
      <c r="H1" s="2" t="s">
        <v>0</v>
      </c>
      <c r="I1" s="2" t="s">
        <v>41</v>
      </c>
      <c r="J1" s="2" t="s">
        <v>3</v>
      </c>
      <c r="K1" s="2" t="s">
        <v>61</v>
      </c>
      <c r="L1" s="2" t="s">
        <v>54</v>
      </c>
      <c r="M1" s="2" t="s">
        <v>2</v>
      </c>
    </row>
    <row r="2" spans="1:13" x14ac:dyDescent="0.25">
      <c r="A2" s="3" t="s">
        <v>42</v>
      </c>
      <c r="B2" s="4">
        <v>45658</v>
      </c>
      <c r="C2" s="3" t="s">
        <v>30</v>
      </c>
      <c r="D2" s="3" t="s">
        <v>31</v>
      </c>
      <c r="E2" s="3" t="s">
        <v>5</v>
      </c>
      <c r="F2" s="1">
        <v>10</v>
      </c>
      <c r="G2" s="1" t="s">
        <v>32</v>
      </c>
      <c r="H2" t="str">
        <f>VLOOKUP(E2,Products!A:D,2,FALSE)</f>
        <v>Whey Protein</v>
      </c>
      <c r="I2" t="str">
        <f>PROPER(A2)</f>
        <v>S001</v>
      </c>
      <c r="J2">
        <f>VLOOKUP(E2,Products!A:D,4,FALSE)</f>
        <v>500</v>
      </c>
      <c r="K2">
        <f>F2*J2</f>
        <v>5000</v>
      </c>
      <c r="L2" s="5" t="str">
        <f>IF(F2&gt;10,"High","Low")</f>
        <v>Low</v>
      </c>
      <c r="M2" t="str">
        <f>VLOOKUP(E2,Products!A:E,3,FALSE)</f>
        <v>Supplements</v>
      </c>
    </row>
    <row r="3" spans="1:13" x14ac:dyDescent="0.25">
      <c r="A3" s="3" t="s">
        <v>43</v>
      </c>
      <c r="B3" s="4">
        <v>45659</v>
      </c>
      <c r="C3" s="3" t="s">
        <v>30</v>
      </c>
      <c r="D3" s="3" t="s">
        <v>33</v>
      </c>
      <c r="E3" s="3" t="s">
        <v>8</v>
      </c>
      <c r="F3" s="1">
        <v>8</v>
      </c>
      <c r="G3" s="1" t="s">
        <v>34</v>
      </c>
      <c r="H3" t="str">
        <f>VLOOKUP(E3,Products!A:D,2,FALSE)</f>
        <v>Creatine</v>
      </c>
      <c r="I3" t="str">
        <f t="shared" ref="I3:I13" si="0">PROPER(A3)</f>
        <v>S002</v>
      </c>
      <c r="J3">
        <f>VLOOKUP(E3,Products!A:D,4,FALSE)</f>
        <v>450</v>
      </c>
      <c r="K3">
        <f t="shared" ref="K3:K13" si="1">F3*J3</f>
        <v>3600</v>
      </c>
      <c r="L3" s="5" t="str">
        <f t="shared" ref="L3:L13" si="2">IF(F3&gt;10,"High","Low")</f>
        <v>Low</v>
      </c>
      <c r="M3" t="str">
        <f>VLOOKUP(E3,Products!A:E,3,FALSE)</f>
        <v>Supplements</v>
      </c>
    </row>
    <row r="4" spans="1:13" x14ac:dyDescent="0.25">
      <c r="A4" s="3" t="s">
        <v>44</v>
      </c>
      <c r="B4" s="4">
        <v>45660</v>
      </c>
      <c r="C4" s="3" t="s">
        <v>35</v>
      </c>
      <c r="D4" s="3" t="s">
        <v>36</v>
      </c>
      <c r="E4" s="3" t="s">
        <v>10</v>
      </c>
      <c r="F4" s="1">
        <v>5</v>
      </c>
      <c r="G4" s="1" t="s">
        <v>32</v>
      </c>
      <c r="H4" t="str">
        <f>VLOOKUP(E4,Products!A:D,2,FALSE)</f>
        <v>Mass Gainer</v>
      </c>
      <c r="I4" t="str">
        <f t="shared" si="0"/>
        <v>S003</v>
      </c>
      <c r="J4">
        <f>VLOOKUP(E4,Products!A:D,4,FALSE)</f>
        <v>900</v>
      </c>
      <c r="K4">
        <f t="shared" si="1"/>
        <v>4500</v>
      </c>
      <c r="L4" s="5" t="str">
        <f t="shared" si="2"/>
        <v>Low</v>
      </c>
      <c r="M4" t="str">
        <f>VLOOKUP(E4,Products!A:E,3,FALSE)</f>
        <v>Supplements</v>
      </c>
    </row>
    <row r="5" spans="1:13" x14ac:dyDescent="0.25">
      <c r="A5" s="3" t="s">
        <v>45</v>
      </c>
      <c r="B5" s="4">
        <v>45661</v>
      </c>
      <c r="C5" s="3" t="s">
        <v>37</v>
      </c>
      <c r="D5" s="3" t="s">
        <v>38</v>
      </c>
      <c r="E5" s="3" t="s">
        <v>5</v>
      </c>
      <c r="F5" s="1">
        <v>12</v>
      </c>
      <c r="G5" s="1" t="s">
        <v>34</v>
      </c>
      <c r="H5" t="str">
        <f>VLOOKUP(E5,Products!A:D,2,FALSE)</f>
        <v>Whey Protein</v>
      </c>
      <c r="I5" t="str">
        <f t="shared" si="0"/>
        <v>S004</v>
      </c>
      <c r="J5">
        <f>VLOOKUP(E5,Products!A:D,4,FALSE)</f>
        <v>500</v>
      </c>
      <c r="K5">
        <f t="shared" si="1"/>
        <v>6000</v>
      </c>
      <c r="L5" s="5" t="str">
        <f t="shared" si="2"/>
        <v>High</v>
      </c>
      <c r="M5" t="str">
        <f>VLOOKUP(E5,Products!A:E,3,FALSE)</f>
        <v>Supplements</v>
      </c>
    </row>
    <row r="6" spans="1:13" x14ac:dyDescent="0.25">
      <c r="A6" s="3" t="s">
        <v>46</v>
      </c>
      <c r="B6" s="4">
        <v>45662</v>
      </c>
      <c r="C6" s="3" t="s">
        <v>39</v>
      </c>
      <c r="D6" s="3" t="s">
        <v>40</v>
      </c>
      <c r="E6" s="3" t="s">
        <v>12</v>
      </c>
      <c r="F6" s="1">
        <v>7</v>
      </c>
      <c r="G6" s="1" t="s">
        <v>32</v>
      </c>
      <c r="H6" t="str">
        <f>VLOOKUP(E6,Products!A:D,2,FALSE)</f>
        <v>Preworkout</v>
      </c>
      <c r="I6" t="str">
        <f t="shared" si="0"/>
        <v>S005</v>
      </c>
      <c r="J6">
        <f>VLOOKUP(E6,Products!A:D,4,FALSE)</f>
        <v>750</v>
      </c>
      <c r="K6">
        <f t="shared" si="1"/>
        <v>5250</v>
      </c>
      <c r="L6" s="5" t="str">
        <f t="shared" si="2"/>
        <v>Low</v>
      </c>
      <c r="M6" t="str">
        <f>VLOOKUP(E6,Products!A:E,3,FALSE)</f>
        <v>Supplements</v>
      </c>
    </row>
    <row r="7" spans="1:13" x14ac:dyDescent="0.25">
      <c r="A7" s="3" t="s">
        <v>47</v>
      </c>
      <c r="B7" s="4">
        <v>45663</v>
      </c>
      <c r="C7" s="3" t="s">
        <v>35</v>
      </c>
      <c r="D7" s="3" t="s">
        <v>36</v>
      </c>
      <c r="E7" s="3" t="s">
        <v>5</v>
      </c>
      <c r="F7" s="1">
        <v>6</v>
      </c>
      <c r="G7" s="1" t="s">
        <v>34</v>
      </c>
      <c r="H7" t="str">
        <f>VLOOKUP(E7,Products!A:D,2,FALSE)</f>
        <v>Whey Protein</v>
      </c>
      <c r="I7" t="str">
        <f t="shared" si="0"/>
        <v>S006</v>
      </c>
      <c r="J7">
        <f>VLOOKUP(E7,Products!A:D,4,FALSE)</f>
        <v>500</v>
      </c>
      <c r="K7">
        <f t="shared" si="1"/>
        <v>3000</v>
      </c>
      <c r="L7" s="5" t="str">
        <f t="shared" si="2"/>
        <v>Low</v>
      </c>
      <c r="M7" t="str">
        <f>VLOOKUP(E7,Products!A:E,3,FALSE)</f>
        <v>Supplements</v>
      </c>
    </row>
    <row r="8" spans="1:13" x14ac:dyDescent="0.25">
      <c r="A8" s="3" t="s">
        <v>48</v>
      </c>
      <c r="B8" s="4">
        <v>45664</v>
      </c>
      <c r="C8" s="3" t="s">
        <v>37</v>
      </c>
      <c r="D8" s="3" t="s">
        <v>38</v>
      </c>
      <c r="E8" s="3" t="s">
        <v>8</v>
      </c>
      <c r="F8" s="1">
        <v>9</v>
      </c>
      <c r="G8" s="1" t="s">
        <v>34</v>
      </c>
      <c r="H8" t="str">
        <f>VLOOKUP(E8,Products!A:D,2,FALSE)</f>
        <v>Creatine</v>
      </c>
      <c r="I8" t="str">
        <f t="shared" si="0"/>
        <v>S007</v>
      </c>
      <c r="J8">
        <f>VLOOKUP(E8,Products!A:D,4,FALSE)</f>
        <v>450</v>
      </c>
      <c r="K8">
        <f t="shared" si="1"/>
        <v>4050</v>
      </c>
      <c r="L8" s="5" t="str">
        <f t="shared" si="2"/>
        <v>Low</v>
      </c>
      <c r="M8" t="str">
        <f>VLOOKUP(E8,Products!A:E,3,FALSE)</f>
        <v>Supplements</v>
      </c>
    </row>
    <row r="9" spans="1:13" x14ac:dyDescent="0.25">
      <c r="A9" s="3" t="s">
        <v>49</v>
      </c>
      <c r="B9" s="4">
        <v>45665</v>
      </c>
      <c r="C9" s="3" t="s">
        <v>30</v>
      </c>
      <c r="D9" s="3" t="s">
        <v>33</v>
      </c>
      <c r="E9" s="3" t="s">
        <v>10</v>
      </c>
      <c r="F9" s="1">
        <v>4</v>
      </c>
      <c r="G9" s="1" t="s">
        <v>32</v>
      </c>
      <c r="H9" t="str">
        <f>VLOOKUP(E9,Products!A:D,2,FALSE)</f>
        <v>Mass Gainer</v>
      </c>
      <c r="I9" t="str">
        <f t="shared" si="0"/>
        <v>S008</v>
      </c>
      <c r="J9">
        <f>VLOOKUP(E9,Products!A:D,4,FALSE)</f>
        <v>900</v>
      </c>
      <c r="K9">
        <f t="shared" si="1"/>
        <v>3600</v>
      </c>
      <c r="L9" s="5" t="str">
        <f t="shared" si="2"/>
        <v>Low</v>
      </c>
      <c r="M9" t="str">
        <f>VLOOKUP(E9,Products!A:E,3,FALSE)</f>
        <v>Supplements</v>
      </c>
    </row>
    <row r="10" spans="1:13" x14ac:dyDescent="0.25">
      <c r="A10" s="3" t="s">
        <v>50</v>
      </c>
      <c r="B10" s="4">
        <v>45666</v>
      </c>
      <c r="C10" s="3" t="s">
        <v>39</v>
      </c>
      <c r="D10" s="3" t="s">
        <v>40</v>
      </c>
      <c r="E10" s="3" t="s">
        <v>14</v>
      </c>
      <c r="F10" s="1">
        <v>15</v>
      </c>
      <c r="G10" s="1" t="s">
        <v>32</v>
      </c>
      <c r="H10" t="str">
        <f>VLOOKUP(E10,Products!A:D,2,FALSE)</f>
        <v>Shaker Bottle</v>
      </c>
      <c r="I10" t="str">
        <f t="shared" si="0"/>
        <v>S009</v>
      </c>
      <c r="J10">
        <f>VLOOKUP(E10,Products!A:D,4,FALSE)</f>
        <v>150</v>
      </c>
      <c r="K10">
        <f t="shared" si="1"/>
        <v>2250</v>
      </c>
      <c r="L10" s="5" t="str">
        <f t="shared" si="2"/>
        <v>High</v>
      </c>
      <c r="M10" t="str">
        <f>VLOOKUP(E10,Products!A:E,3,FALSE)</f>
        <v>Accessories</v>
      </c>
    </row>
    <row r="11" spans="1:13" x14ac:dyDescent="0.25">
      <c r="A11" s="3" t="s">
        <v>51</v>
      </c>
      <c r="B11" s="4">
        <v>45667</v>
      </c>
      <c r="C11" s="3" t="s">
        <v>35</v>
      </c>
      <c r="D11" s="3" t="s">
        <v>36</v>
      </c>
      <c r="E11" s="3" t="s">
        <v>17</v>
      </c>
      <c r="F11" s="1">
        <v>10</v>
      </c>
      <c r="G11" s="1" t="s">
        <v>34</v>
      </c>
      <c r="H11" t="str">
        <f>VLOOKUP(E11,Products!A:D,2,FALSE)</f>
        <v>Gym Gloves</v>
      </c>
      <c r="I11" t="str">
        <f t="shared" si="0"/>
        <v>S010</v>
      </c>
      <c r="J11">
        <f>VLOOKUP(E11,Products!A:D,4,FALSE)</f>
        <v>200</v>
      </c>
      <c r="K11">
        <f t="shared" si="1"/>
        <v>2000</v>
      </c>
      <c r="L11" s="5" t="str">
        <f t="shared" si="2"/>
        <v>Low</v>
      </c>
      <c r="M11" t="str">
        <f>VLOOKUP(E11,Products!A:E,3,FALSE)</f>
        <v>Accessories</v>
      </c>
    </row>
    <row r="12" spans="1:13" x14ac:dyDescent="0.25">
      <c r="A12" s="3" t="s">
        <v>52</v>
      </c>
      <c r="B12" s="4">
        <v>45668</v>
      </c>
      <c r="C12" s="3" t="s">
        <v>30</v>
      </c>
      <c r="D12" s="3" t="s">
        <v>31</v>
      </c>
      <c r="E12" s="3" t="s">
        <v>22</v>
      </c>
      <c r="F12" s="1">
        <v>5</v>
      </c>
      <c r="G12" s="1" t="s">
        <v>32</v>
      </c>
      <c r="H12" t="str">
        <f>VLOOKUP(E12,Products!A:D,2,FALSE)</f>
        <v>Multivitamins</v>
      </c>
      <c r="I12" t="str">
        <f t="shared" si="0"/>
        <v>S011</v>
      </c>
      <c r="J12">
        <f>VLOOKUP(E12,Products!A:D,4,FALSE)</f>
        <v>650</v>
      </c>
      <c r="K12">
        <f t="shared" si="1"/>
        <v>3250</v>
      </c>
      <c r="L12" s="5" t="str">
        <f t="shared" si="2"/>
        <v>Low</v>
      </c>
      <c r="M12" t="str">
        <f>VLOOKUP(E12,Products!A:E,3,FALSE)</f>
        <v>Supplements</v>
      </c>
    </row>
    <row r="13" spans="1:13" x14ac:dyDescent="0.25">
      <c r="A13" s="3" t="s">
        <v>53</v>
      </c>
      <c r="B13" s="4">
        <v>45669</v>
      </c>
      <c r="C13" s="3" t="s">
        <v>37</v>
      </c>
      <c r="D13" s="3" t="s">
        <v>38</v>
      </c>
      <c r="E13" s="3" t="s">
        <v>19</v>
      </c>
      <c r="F13" s="1">
        <v>8</v>
      </c>
      <c r="G13" s="1" t="s">
        <v>34</v>
      </c>
      <c r="H13" t="str">
        <f>VLOOKUP(E13,Products!A:D,2,FALSE)</f>
        <v>Protein Bar</v>
      </c>
      <c r="I13" t="str">
        <f t="shared" si="0"/>
        <v>S012</v>
      </c>
      <c r="J13">
        <f>VLOOKUP(E13,Products!A:D,4,FALSE)</f>
        <v>120</v>
      </c>
      <c r="K13">
        <f t="shared" si="1"/>
        <v>960</v>
      </c>
      <c r="L13" s="5" t="str">
        <f t="shared" si="2"/>
        <v>Low</v>
      </c>
      <c r="M13" t="str">
        <f>VLOOKUP(E13,Products!A:E,3,FALSE)</f>
        <v>Food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FE94-4D6F-4814-932A-6877A037B8A5}">
  <dimension ref="A1:B6"/>
  <sheetViews>
    <sheetView tabSelected="1" workbookViewId="0"/>
  </sheetViews>
  <sheetFormatPr defaultRowHeight="15" x14ac:dyDescent="0.25"/>
  <cols>
    <col min="1" max="1" width="13.140625" bestFit="1" customWidth="1"/>
    <col min="2" max="2" width="26.7109375" bestFit="1" customWidth="1"/>
  </cols>
  <sheetData>
    <row r="1" spans="1:2" x14ac:dyDescent="0.25">
      <c r="A1" s="6" t="s">
        <v>59</v>
      </c>
      <c r="B1" t="s">
        <v>63</v>
      </c>
    </row>
    <row r="2" spans="1:2" x14ac:dyDescent="0.25">
      <c r="A2" s="7" t="s">
        <v>37</v>
      </c>
      <c r="B2" s="9">
        <v>11010</v>
      </c>
    </row>
    <row r="3" spans="1:2" x14ac:dyDescent="0.25">
      <c r="A3" s="7" t="s">
        <v>30</v>
      </c>
      <c r="B3" s="9">
        <v>15450</v>
      </c>
    </row>
    <row r="4" spans="1:2" x14ac:dyDescent="0.25">
      <c r="A4" s="7" t="s">
        <v>35</v>
      </c>
      <c r="B4" s="9">
        <v>9500</v>
      </c>
    </row>
    <row r="5" spans="1:2" x14ac:dyDescent="0.25">
      <c r="A5" s="7" t="s">
        <v>39</v>
      </c>
      <c r="B5" s="9">
        <v>7500</v>
      </c>
    </row>
    <row r="6" spans="1:2" x14ac:dyDescent="0.25">
      <c r="A6" s="7" t="s">
        <v>60</v>
      </c>
      <c r="B6" s="9">
        <v>43460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35D5-B965-423C-AB91-84386826C99D}">
  <dimension ref="A1:H5"/>
  <sheetViews>
    <sheetView workbookViewId="0">
      <selection sqref="A1:B5"/>
    </sheetView>
  </sheetViews>
  <sheetFormatPr defaultRowHeight="15" x14ac:dyDescent="0.25"/>
  <cols>
    <col min="1" max="1" width="27.85546875" customWidth="1"/>
    <col min="2" max="2" width="19.85546875" customWidth="1"/>
    <col min="3" max="3" width="21.5703125" customWidth="1"/>
    <col min="4" max="4" width="14.5703125" customWidth="1"/>
    <col min="5" max="5" width="20" customWidth="1"/>
    <col min="7" max="7" width="14.7109375" customWidth="1"/>
    <col min="8" max="8" width="21" customWidth="1"/>
  </cols>
  <sheetData>
    <row r="1" spans="1:8" x14ac:dyDescent="0.25">
      <c r="A1" t="s">
        <v>26</v>
      </c>
      <c r="B1" t="s">
        <v>55</v>
      </c>
      <c r="E1" t="s">
        <v>56</v>
      </c>
      <c r="H1" t="s">
        <v>57</v>
      </c>
    </row>
    <row r="2" spans="1:8" x14ac:dyDescent="0.25">
      <c r="A2" t="s">
        <v>30</v>
      </c>
      <c r="B2">
        <f>SUMIFS(Sales!K:K, Sales!C:C,A2)</f>
        <v>15450</v>
      </c>
      <c r="D2" t="s">
        <v>32</v>
      </c>
      <c r="E2">
        <f>SUMIFS(Sales!K:K, Sales!G:G,D2)</f>
        <v>23850</v>
      </c>
      <c r="G2" t="s">
        <v>21</v>
      </c>
      <c r="H2">
        <f>SUMIFS(Sales!K:K, Sales!M:M,G2)</f>
        <v>960</v>
      </c>
    </row>
    <row r="3" spans="1:8" x14ac:dyDescent="0.25">
      <c r="A3" t="s">
        <v>35</v>
      </c>
      <c r="B3">
        <f>SUMIFS(Sales!K:K, Sales!C:C,A3)</f>
        <v>9500</v>
      </c>
      <c r="D3" t="s">
        <v>34</v>
      </c>
      <c r="E3">
        <f>SUMIFS(Sales!K:K, Sales!G:G,D3)</f>
        <v>19610</v>
      </c>
      <c r="G3" t="s">
        <v>58</v>
      </c>
      <c r="H3">
        <f>SUMIFS(Sales!K:K, Sales!M:M,G3)</f>
        <v>38250</v>
      </c>
    </row>
    <row r="4" spans="1:8" x14ac:dyDescent="0.25">
      <c r="A4" t="s">
        <v>39</v>
      </c>
      <c r="B4">
        <f>SUMIFS(Sales!K:K, Sales!C:C,A4)</f>
        <v>7500</v>
      </c>
      <c r="G4" t="s">
        <v>16</v>
      </c>
      <c r="H4">
        <f>SUMIFS(Sales!K:K, Sales!M:M,G4)</f>
        <v>4250</v>
      </c>
    </row>
    <row r="5" spans="1:8" x14ac:dyDescent="0.25">
      <c r="A5" t="s">
        <v>37</v>
      </c>
      <c r="B5">
        <f>SUMIFS(Sales!K:K, Sales!C:C,A5)</f>
        <v>11010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Sheet5</vt:lpstr>
      <vt:lpstr>DashBoard</vt:lpstr>
      <vt:lpstr>Sales</vt:lpstr>
      <vt:lpstr>Sheet7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</dc:creator>
  <cp:lastModifiedBy>francis ganapin</cp:lastModifiedBy>
  <dcterms:created xsi:type="dcterms:W3CDTF">2015-06-05T18:17:20Z</dcterms:created>
  <dcterms:modified xsi:type="dcterms:W3CDTF">2025-10-16T04:43:49Z</dcterms:modified>
</cp:coreProperties>
</file>